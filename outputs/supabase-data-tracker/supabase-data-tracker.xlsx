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b0232c57c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o dõi tiến độ" sheetId="1" r:id="R2dd62401c75a42a3"/>
    <x:sheet xmlns:r="http://schemas.openxmlformats.org/officeDocument/2006/relationships" name="Ví dụ Supabase" sheetId="2" r:id="R4051537745cd45f1"/>
    <x:sheet xmlns:r="http://schemas.openxmlformats.org/officeDocument/2006/relationships" name="Quy ước dữ liệu" sheetId="3" r:id="R5ce1abd616e64244"/>
    <x:sheet xmlns:r="http://schemas.openxmlformats.org/officeDocument/2006/relationships" name="Danh mục" sheetId="4" r:id="Rffdd91dea935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5"/>
      <x:color rgb="FFFFFFFF"/>
      <x:name val="Carlito"/>
    </x:font>
    <x:font>
      <x:sz val="9"/>
      <x:color rgb="FF374151"/>
      <x:name val="Consolas"/>
    </x:font>
    <x:font>
      <x:b/>
      <x:sz val="16"/>
      <x:color rgb="FFFFFFFF"/>
      <x:name val="Aptos"/>
    </x:font>
    <x:font>
      <x:b/>
      <x:sz val="15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2304A"/>
      <x:name val="Aptos"/>
    </x:font>
    <x:font>
      <x:sz val="9"/>
      <x:color rgb="FF37415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3F6F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8F3EC"/>
      </x:patternFill>
    </x:fill>
    <x:fill>
      <x:patternFill patternType="solid">
        <x:fgColor rgb="FFE8EAF6"/>
      </x:patternFill>
    </x:fill>
    <x:fill>
      <x:patternFill patternType="solid">
        <x:fgColor rgb="FFE2F0D9"/>
      </x:patternFill>
    </x:fill>
    <x:fill>
      <x:patternFill patternType="solid">
        <x:fgColor rgb="FFFCE4EC"/>
      </x:patternFill>
    </x:fill>
  </x:fills>
  <x:borders count="20">
    <x:border/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12304A"/>
      </x:left>
      <x:right style="thin">
        <x:color rgb="FFC8D3DC"/>
      </x:right>
      <x:top style="thin">
        <x:color rgb="FF12304A"/>
      </x:top>
      <x:bottom style="thin">
        <x:color rgb="FFC8D3DC"/>
      </x:bottom>
    </x:border>
    <x:border>
      <x:left style="thin">
        <x:color rgb="FFC8D3DC"/>
      </x:left>
      <x:right style="thin">
        <x:color rgb="FFC8D3DC"/>
      </x:right>
      <x:top style="thin">
        <x:color rgb="FF12304A"/>
      </x:top>
      <x:bottom style="thin">
        <x:color rgb="FFC8D3DC"/>
      </x:bottom>
    </x:border>
    <x:border>
      <x:left style="thin">
        <x:color rgb="FFC8D3DC"/>
      </x:left>
      <x:top style="thin">
        <x:color rgb="FF12304A"/>
      </x:top>
      <x:bottom style="thin">
        <x:color rgb="FFC8D3DC"/>
      </x:bottom>
    </x:border>
    <x:border>
      <x:left style="thin">
        <x:color rgb="FF12304A"/>
      </x:left>
      <x:right style="thin">
        <x:color rgb="FFC8D3DC"/>
      </x:right>
      <x:top style="thin">
        <x:color rgb="FFC8D3DC"/>
      </x:top>
      <x:bottom style="thin">
        <x:color rgb="FFC8D3DC"/>
      </x:bottom>
    </x:border>
    <x:border>
      <x:left style="thin">
        <x:color rgb="FFC8D3DC"/>
      </x:left>
      <x:right style="thin">
        <x:color rgb="FFC8D3DC"/>
      </x:right>
      <x:top style="thin">
        <x:color rgb="FFC8D3DC"/>
      </x:top>
      <x:bottom style="thin">
        <x:color rgb="FFC8D3DC"/>
      </x:bottom>
    </x:border>
    <x:border>
      <x:left style="thin">
        <x:color rgb="FFC8D3DC"/>
      </x:left>
      <x:top style="thin">
        <x:color rgb="FFC8D3DC"/>
      </x:top>
      <x:bottom style="thin">
        <x:color rgb="FFC8D3DC"/>
      </x:bottom>
    </x:border>
    <x:border>
      <x:left style="thin">
        <x:color rgb="FF12304A"/>
      </x:left>
      <x:right style="thin">
        <x:color rgb="FFC8D3DC"/>
      </x:right>
      <x:top style="thin">
        <x:color rgb="FFC8D3DC"/>
      </x:top>
      <x:bottom style="thin">
        <x:color rgb="FF12304A"/>
      </x:bottom>
    </x:border>
    <x:border>
      <x:left style="thin">
        <x:color rgb="FFC8D3DC"/>
      </x:left>
      <x:right style="thin">
        <x:color rgb="FFC8D3DC"/>
      </x:right>
      <x:top style="thin">
        <x:color rgb="FFC8D3DC"/>
      </x:top>
      <x:bottom style="thin">
        <x:color rgb="FF12304A"/>
      </x:bottom>
    </x:border>
    <x:border>
      <x:left style="thin">
        <x:color rgb="FFC8D3DC"/>
      </x:left>
      <x:top style="thin">
        <x:color rgb="FFC8D3DC"/>
      </x:top>
      <x:bottom style="thin">
        <x:color rgb="FF12304A"/>
      </x:bottom>
    </x:border>
    <x:border>
      <x:left style="thin">
        <x:color rgb="FFC8D3DC"/>
      </x:left>
      <x:right style="thin">
        <x:color rgb="FFC8D3DC"/>
      </x:right>
      <x:bottom style="thin">
        <x:color rgb="FFC8D3DC"/>
      </x:bottom>
    </x:border>
    <x:border>
      <x:right style="thin">
        <x:color rgb="FFC8D3DC"/>
      </x:right>
      <x:top style="thin">
        <x:color rgb="FFC8D3DC"/>
      </x:top>
      <x:bottom style="thin">
        <x:color rgb="FFC8D3DC"/>
      </x:bottom>
    </x:border>
    <x:border>
      <x:left style="thin">
        <x:color rgb="FFC8D3DC"/>
      </x:left>
      <x:right style="thin">
        <x:color rgb="FFC8D3DC"/>
      </x:right>
      <x:top style="thin">
        <x:color rgb="FFC8D3DC"/>
      </x:top>
    </x:border>
  </x:borders>
  <x:cellStyleXfs count="1">
    <x:xf numFmtId="0" fontId="0" fillId="0" borderId="0"/>
  </x:cellStyleXfs>
  <x:cellXfs count="2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200" fontId="2" fillId="3" borderId="3" xfId="0" applyNumberFormat="1" applyFont="1" applyFill="1" applyBorder="1" applyAlignment="1">
      <x:alignment horizontal="center" vertical="center"/>
    </x:xf>
    <x:xf numFmtId="201" fontId="2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horizontal="right" vertical="top" wrapText="1"/>
    </x:xf>
    <x:xf numFmtId="201" fontId="0" fillId="0" borderId="12" xfId="0" applyNumberFormat="1" applyFont="1" applyFill="1" applyBorder="1" applyAlignment="1">
      <x:alignment horizontal="right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horizontal="right" vertical="top" wrapText="1"/>
    </x:xf>
    <x:xf numFmtId="201" fontId="0" fillId="0" borderId="15" xfId="0" applyNumberFormat="1" applyFont="1" applyFill="1" applyBorder="1" applyAlignment="1">
      <x:alignment horizontal="right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horizontal="center" vertical="top" wrapText="1"/>
    </x:xf>
    <x:xf numFmtId="0" fontId="0" fillId="4" borderId="12" xfId="0" applyNumberFormat="1" applyFont="1" applyFill="1" applyBorder="1" applyAlignment="1">
      <x:alignment vertical="top" wrapText="1"/>
    </x:xf>
    <x:xf numFmtId="200" fontId="0" fillId="4" borderId="12" xfId="0" applyNumberFormat="1" applyFont="1" applyFill="1" applyBorder="1" applyAlignment="1">
      <x:alignment horizontal="right" vertical="top" wrapText="1"/>
    </x:xf>
    <x:xf numFmtId="201" fontId="0" fillId="4" borderId="12" xfId="0" applyNumberFormat="1" applyFont="1" applyFill="1" applyBorder="1" applyAlignment="1">
      <x:alignment horizontal="right"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5" borderId="12" xfId="0" applyNumberFormat="1" applyFont="1" applyFill="1" applyBorder="1" applyAlignment="1">
      <x:alignment vertical="top" wrapText="1"/>
    </x:xf>
    <x:xf numFmtId="200" fontId="0" fillId="5" borderId="12" xfId="0" applyNumberFormat="1" applyFont="1" applyFill="1" applyBorder="1" applyAlignment="1">
      <x:alignment horizontal="right" vertical="top" wrapText="1"/>
    </x:xf>
    <x:xf numFmtId="201" fontId="0" fillId="5" borderId="12" xfId="0" applyNumberFormat="1" applyFont="1" applyFill="1" applyBorder="1" applyAlignment="1">
      <x:alignment horizontal="right"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200" fontId="0" fillId="6" borderId="12" xfId="0" applyNumberFormat="1" applyFont="1" applyFill="1" applyBorder="1" applyAlignment="1">
      <x:alignment horizontal="right" vertical="top" wrapText="1"/>
    </x:xf>
    <x:xf numFmtId="201" fontId="0" fillId="6" borderId="12" xfId="0" applyNumberFormat="1" applyFont="1" applyFill="1" applyBorder="1" applyAlignment="1">
      <x:alignment horizontal="right"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horizontal="center" vertical="top" wrapText="1"/>
    </x:xf>
    <x:xf numFmtId="0" fontId="0" fillId="7" borderId="12" xfId="0" applyNumberFormat="1" applyFont="1" applyFill="1" applyBorder="1" applyAlignment="1">
      <x:alignment vertical="top" wrapText="1"/>
    </x:xf>
    <x:xf numFmtId="200" fontId="0" fillId="7" borderId="12" xfId="0" applyNumberFormat="1" applyFont="1" applyFill="1" applyBorder="1" applyAlignment="1">
      <x:alignment horizontal="right" vertical="top" wrapText="1"/>
    </x:xf>
    <x:xf numFmtId="201" fontId="0" fillId="7" borderId="12" xfId="0" applyNumberFormat="1" applyFont="1" applyFill="1" applyBorder="1" applyAlignment="1">
      <x:alignment horizontal="right"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horizontal="center" vertical="top" wrapText="1"/>
    </x:xf>
    <x:xf numFmtId="0" fontId="0" fillId="7" borderId="15" xfId="0" applyNumberFormat="1" applyFont="1" applyFill="1" applyBorder="1" applyAlignment="1">
      <x:alignment vertical="top" wrapText="1"/>
    </x:xf>
    <x:xf numFmtId="200" fontId="0" fillId="7" borderId="15" xfId="0" applyNumberFormat="1" applyFont="1" applyFill="1" applyBorder="1" applyAlignment="1">
      <x:alignment horizontal="right" vertical="top" wrapText="1"/>
    </x:xf>
    <x:xf numFmtId="201" fontId="0" fillId="7" borderId="15" xfId="0" applyNumberFormat="1" applyFont="1" applyFill="1" applyBorder="1" applyAlignment="1">
      <x:alignment horizontal="right"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center" vertical="center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borderId="12" xfId="0" applyNumberFormat="1" applyFont="1" applyFill="1" applyBorder="1" applyAlignment="1">
      <x:alignment vertical="top" wrapText="1"/>
    </x:xf>
    <x:xf numFmtId="200" fontId="5" fillId="4" borderId="12" xfId="0" applyNumberFormat="1" applyFont="1" applyFill="1" applyBorder="1" applyAlignment="1">
      <x:alignment horizontal="right" vertical="top" wrapText="1"/>
    </x:xf>
    <x:xf numFmtId="201" fontId="5" fillId="4" borderId="12" xfId="0" applyNumberFormat="1" applyFont="1" applyFill="1" applyBorder="1" applyAlignment="1">
      <x:alignment horizontal="right"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horizontal="center" vertical="top" wrapText="1"/>
    </x:xf>
    <x:xf numFmtId="0" fontId="5" fillId="5" borderId="12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horizontal="right" vertical="top" wrapText="1"/>
    </x:xf>
    <x:xf numFmtId="201" fontId="5" fillId="5" borderId="12" xfId="0" applyNumberFormat="1" applyFont="1" applyFill="1" applyBorder="1" applyAlignment="1">
      <x:alignment horizontal="right"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horizontal="center" vertical="top" wrapText="1"/>
    </x:xf>
    <x:xf numFmtId="0" fontId="5" fillId="6" borderId="12" xfId="0" applyNumberFormat="1" applyFont="1" applyFill="1" applyBorder="1" applyAlignment="1">
      <x:alignment vertical="top" wrapText="1"/>
    </x:xf>
    <x:xf numFmtId="200" fontId="5" fillId="6" borderId="12" xfId="0" applyNumberFormat="1" applyFont="1" applyFill="1" applyBorder="1" applyAlignment="1">
      <x:alignment horizontal="right" vertical="top" wrapText="1"/>
    </x:xf>
    <x:xf numFmtId="201" fontId="5" fillId="6" borderId="12" xfId="0" applyNumberFormat="1" applyFont="1" applyFill="1" applyBorder="1" applyAlignment="1">
      <x:alignment horizontal="right"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horizontal="center" vertical="top" wrapText="1"/>
    </x:xf>
    <x:xf numFmtId="0" fontId="5" fillId="7" borderId="12" xfId="0" applyNumberFormat="1" applyFont="1" applyFill="1" applyBorder="1" applyAlignment="1">
      <x:alignment vertical="top" wrapText="1"/>
    </x:xf>
    <x:xf numFmtId="200" fontId="5" fillId="7" borderId="12" xfId="0" applyNumberFormat="1" applyFont="1" applyFill="1" applyBorder="1" applyAlignment="1">
      <x:alignment horizontal="right" vertical="top" wrapText="1"/>
    </x:xf>
    <x:xf numFmtId="201" fontId="5" fillId="7" borderId="12" xfId="0" applyNumberFormat="1" applyFont="1" applyFill="1" applyBorder="1" applyAlignment="1">
      <x:alignment horizontal="right"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horizontal="center" vertical="top" wrapText="1"/>
    </x:xf>
    <x:xf numFmtId="0" fontId="5" fillId="7" borderId="15" xfId="0" applyNumberFormat="1" applyFont="1" applyFill="1" applyBorder="1" applyAlignment="1">
      <x:alignment vertical="top" wrapText="1"/>
    </x:xf>
    <x:xf numFmtId="200" fontId="5" fillId="7" borderId="15" xfId="0" applyNumberFormat="1" applyFont="1" applyFill="1" applyBorder="1" applyAlignment="1">
      <x:alignment horizontal="right" vertical="top" wrapText="1"/>
    </x:xf>
    <x:xf numFmtId="201" fontId="5" fillId="7" borderId="15" xfId="0" applyNumberFormat="1" applyFont="1" applyFill="1" applyBorder="1" applyAlignment="1">
      <x:alignment horizontal="right"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8" xfId="0" applyNumberFormat="1" applyFont="1" applyFill="1" applyBorder="1" applyAlignment="1">
      <x:alignment horizontal="center" vertical="center" wrapText="1"/>
    </x:xf>
    <x:xf numFmtId="0" fontId="7" fillId="2" borderId="9" xfId="0" applyNumberFormat="1" applyFont="1" applyFill="1" applyBorder="1" applyAlignment="1">
      <x:alignment horizontal="center" vertical="center" wrapText="1"/>
    </x:xf>
    <x:xf numFmtId="0" fontId="7" fillId="2" borderId="1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7" xfId="0" applyNumberFormat="1" applyFont="1" applyFill="1" applyBorder="1"/>
    <x:xf numFmtId="0" fontId="0" fillId="0" borderId="3" xfId="0" applyNumberFormat="1" applyFont="1" applyFill="1" applyBorder="1"/>
    <x:xf numFmtId="0" fontId="0" fillId="0" borderId="18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19" xfId="0" applyNumberFormat="1" applyFont="1" applyFill="1" applyBorder="1"/>
    <x:xf numFmtId="0" fontId="0" fillId="0" borderId="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4" borderId="18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2" fillId="6" borderId="18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2" fillId="7" borderId="18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9" fillId="3" borderId="12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2" fillId="8" borderId="18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2" fillId="9" borderId="18" xfId="0" applyNumberFormat="1" applyFont="1" applyFill="1" applyBorder="1" applyAlignment="1">
      <x:alignment vertical="top" wrapText="1"/>
    </x:xf>
    <x:xf numFmtId="0" fontId="0" fillId="9" borderId="12" xfId="0" applyNumberFormat="1" applyFont="1" applyFill="1" applyBorder="1" applyAlignment="1">
      <x:alignment vertical="top" wrapText="1"/>
    </x:xf>
    <x:xf numFmtId="0" fontId="9" fillId="9" borderId="12" xfId="0" applyNumberFormat="1" applyFont="1" applyFill="1" applyBorder="1" applyAlignment="1">
      <x:alignment vertical="top" wrapText="1"/>
    </x:xf>
    <x:xf numFmtId="0" fontId="0" fillId="9" borderId="13" xfId="0" applyNumberFormat="1" applyFont="1" applyFill="1" applyBorder="1" applyAlignment="1">
      <x:alignment vertical="top" wrapText="1"/>
    </x:xf>
    <x:xf numFmtId="0" fontId="2" fillId="10" borderId="18" xfId="0" applyNumberFormat="1" applyFont="1" applyFill="1" applyBorder="1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0" fontId="9" fillId="10" borderId="12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0" fontId="9" fillId="10" borderId="19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17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0" fillId="3" borderId="18" xfId="0" applyNumberFormat="1" applyFont="1" applyFill="1" applyBorder="1"/>
    <x:xf numFmtId="0" fontId="0" fillId="3" borderId="13" xfId="0" applyNumberFormat="1" applyFont="1" applyFill="1" applyBorder="1"/>
    <x:xf numFmtId="0" fontId="0" fillId="3" borderId="2" xfId="0" applyNumberFormat="1" applyFont="1" applyFill="1" applyBorder="1"/>
    <x:xf numFmtId="0" fontId="0" fillId="3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2" borderId="4" xfId="0" applyNumberFormat="1" applyFont="1" applyFill="1" applyBorder="1" applyAlignment="1">
      <x:alignment horizontal="center" vertical="center" wrapText="1"/>
    </x:xf>
    <x:xf numFmtId="0" fontId="13" fillId="2" borderId="17" xfId="0" applyNumberFormat="1" applyFont="1" applyFill="1" applyBorder="1" applyAlignment="1">
      <x:alignment horizontal="center" vertical="center" wrapText="1"/>
    </x:xf>
    <x:xf numFmtId="0" fontId="13" fillId="2" borderId="3" xfId="0" applyNumberFormat="1" applyFont="1" applyFill="1" applyBorder="1" applyAlignment="1">
      <x:alignment horizontal="center" vertical="center" wrapText="1"/>
    </x:xf>
    <x:xf numFmtId="0" fontId="14" fillId="4" borderId="18" xfId="0" applyNumberFormat="1" applyFont="1" applyFill="1" applyBorder="1" applyAlignment="1">
      <x:alignment vertical="top" wrapText="1"/>
    </x:xf>
    <x:xf numFmtId="0" fontId="12" fillId="4" borderId="12" xfId="0" applyNumberFormat="1" applyFont="1" applyFill="1" applyBorder="1" applyAlignment="1">
      <x:alignment vertical="top" wrapText="1"/>
    </x:xf>
    <x:xf numFmtId="0" fontId="15" fillId="4" borderId="12" xfId="0" applyNumberFormat="1" applyFont="1" applyFill="1" applyBorder="1" applyAlignment="1">
      <x:alignment vertical="top" wrapText="1"/>
    </x:xf>
    <x:xf numFmtId="0" fontId="12" fillId="4" borderId="13" xfId="0" applyNumberFormat="1" applyFont="1" applyFill="1" applyBorder="1" applyAlignment="1">
      <x:alignment vertical="top" wrapText="1"/>
    </x:xf>
    <x:xf numFmtId="0" fontId="14" fillId="5" borderId="18" xfId="0" applyNumberFormat="1" applyFont="1" applyFill="1" applyBorder="1" applyAlignment="1">
      <x:alignment vertical="top" wrapText="1"/>
    </x:xf>
    <x:xf numFmtId="0" fontId="12" fillId="5" borderId="12" xfId="0" applyNumberFormat="1" applyFont="1" applyFill="1" applyBorder="1" applyAlignment="1">
      <x:alignment vertical="top" wrapText="1"/>
    </x:xf>
    <x:xf numFmtId="0" fontId="15" fillId="5" borderId="12" xfId="0" applyNumberFormat="1" applyFont="1" applyFill="1" applyBorder="1" applyAlignment="1">
      <x:alignment vertical="top" wrapText="1"/>
    </x:xf>
    <x:xf numFmtId="0" fontId="12" fillId="5" borderId="13" xfId="0" applyNumberFormat="1" applyFont="1" applyFill="1" applyBorder="1" applyAlignment="1">
      <x:alignment vertical="top" wrapText="1"/>
    </x:xf>
    <x:xf numFmtId="0" fontId="14" fillId="6" borderId="18" xfId="0" applyNumberFormat="1" applyFont="1" applyFill="1" applyBorder="1" applyAlignment="1">
      <x:alignment vertical="top" wrapText="1"/>
    </x:xf>
    <x:xf numFmtId="0" fontId="12" fillId="6" borderId="12" xfId="0" applyNumberFormat="1" applyFont="1" applyFill="1" applyBorder="1" applyAlignment="1">
      <x:alignment vertical="top" wrapText="1"/>
    </x:xf>
    <x:xf numFmtId="0" fontId="15" fillId="6" borderId="12" xfId="0" applyNumberFormat="1" applyFont="1" applyFill="1" applyBorder="1" applyAlignment="1">
      <x:alignment vertical="top" wrapText="1"/>
    </x:xf>
    <x:xf numFmtId="0" fontId="12" fillId="6" borderId="13" xfId="0" applyNumberFormat="1" applyFont="1" applyFill="1" applyBorder="1" applyAlignment="1">
      <x:alignment vertical="top" wrapText="1"/>
    </x:xf>
    <x:xf numFmtId="0" fontId="14" fillId="7" borderId="18" xfId="0" applyNumberFormat="1" applyFont="1" applyFill="1" applyBorder="1" applyAlignment="1">
      <x:alignment vertical="top" wrapText="1"/>
    </x:xf>
    <x:xf numFmtId="0" fontId="12" fillId="7" borderId="12" xfId="0" applyNumberFormat="1" applyFont="1" applyFill="1" applyBorder="1" applyAlignment="1">
      <x:alignment vertical="top" wrapText="1"/>
    </x:xf>
    <x:xf numFmtId="0" fontId="15" fillId="7" borderId="12" xfId="0" applyNumberFormat="1" applyFont="1" applyFill="1" applyBorder="1" applyAlignment="1">
      <x:alignment vertical="top" wrapText="1"/>
    </x:xf>
    <x:xf numFmtId="0" fontId="12" fillId="7" borderId="13" xfId="0" applyNumberFormat="1" applyFont="1" applyFill="1" applyBorder="1" applyAlignment="1">
      <x:alignment vertical="top" wrapText="1"/>
    </x:xf>
    <x:xf numFmtId="0" fontId="14" fillId="3" borderId="18" xfId="0" applyNumberFormat="1" applyFont="1" applyFill="1" applyBorder="1" applyAlignment="1">
      <x:alignment vertical="top" wrapText="1"/>
    </x:xf>
    <x:xf numFmtId="0" fontId="12" fillId="3" borderId="12" xfId="0" applyNumberFormat="1" applyFont="1" applyFill="1" applyBorder="1" applyAlignment="1">
      <x:alignment vertical="top" wrapText="1"/>
    </x:xf>
    <x:xf numFmtId="0" fontId="15" fillId="3" borderId="12" xfId="0" applyNumberFormat="1" applyFont="1" applyFill="1" applyBorder="1" applyAlignment="1">
      <x:alignment vertical="top" wrapText="1"/>
    </x:xf>
    <x:xf numFmtId="0" fontId="12" fillId="3" borderId="13" xfId="0" applyNumberFormat="1" applyFont="1" applyFill="1" applyBorder="1" applyAlignment="1">
      <x:alignment vertical="top" wrapText="1"/>
    </x:xf>
    <x:xf numFmtId="0" fontId="14" fillId="8" borderId="18" xfId="0" applyNumberFormat="1" applyFont="1" applyFill="1" applyBorder="1" applyAlignment="1">
      <x:alignment vertical="top" wrapText="1"/>
    </x:xf>
    <x:xf numFmtId="0" fontId="12" fillId="8" borderId="12" xfId="0" applyNumberFormat="1" applyFont="1" applyFill="1" applyBorder="1" applyAlignment="1">
      <x:alignment vertical="top" wrapText="1"/>
    </x:xf>
    <x:xf numFmtId="0" fontId="15" fillId="8" borderId="12" xfId="0" applyNumberFormat="1" applyFont="1" applyFill="1" applyBorder="1" applyAlignment="1">
      <x:alignment vertical="top" wrapText="1"/>
    </x:xf>
    <x:xf numFmtId="0" fontId="12" fillId="8" borderId="13" xfId="0" applyNumberFormat="1" applyFont="1" applyFill="1" applyBorder="1" applyAlignment="1">
      <x:alignment vertical="top" wrapText="1"/>
    </x:xf>
    <x:xf numFmtId="0" fontId="14" fillId="9" borderId="18" xfId="0" applyNumberFormat="1" applyFont="1" applyFill="1" applyBorder="1" applyAlignment="1">
      <x:alignment vertical="top" wrapText="1"/>
    </x:xf>
    <x:xf numFmtId="0" fontId="12" fillId="9" borderId="12" xfId="0" applyNumberFormat="1" applyFont="1" applyFill="1" applyBorder="1" applyAlignment="1">
      <x:alignment vertical="top" wrapText="1"/>
    </x:xf>
    <x:xf numFmtId="0" fontId="15" fillId="9" borderId="12" xfId="0" applyNumberFormat="1" applyFont="1" applyFill="1" applyBorder="1" applyAlignment="1">
      <x:alignment vertical="top" wrapText="1"/>
    </x:xf>
    <x:xf numFmtId="0" fontId="12" fillId="9" borderId="13" xfId="0" applyNumberFormat="1" applyFont="1" applyFill="1" applyBorder="1" applyAlignment="1">
      <x:alignment vertical="top" wrapText="1"/>
    </x:xf>
    <x:xf numFmtId="0" fontId="14" fillId="10" borderId="18" xfId="0" applyNumberFormat="1" applyFont="1" applyFill="1" applyBorder="1" applyAlignment="1">
      <x:alignment vertical="top" wrapText="1"/>
    </x:xf>
    <x:xf numFmtId="0" fontId="12" fillId="10" borderId="12" xfId="0" applyNumberFormat="1" applyFont="1" applyFill="1" applyBorder="1" applyAlignment="1">
      <x:alignment vertical="top" wrapText="1"/>
    </x:xf>
    <x:xf numFmtId="0" fontId="15" fillId="10" borderId="12" xfId="0" applyNumberFormat="1" applyFont="1" applyFill="1" applyBorder="1" applyAlignment="1">
      <x:alignment vertical="top" wrapText="1"/>
    </x:xf>
    <x:xf numFmtId="0" fontId="12" fillId="10" borderId="13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12" fillId="10" borderId="19" xfId="0" applyNumberFormat="1" applyFont="1" applyFill="1" applyBorder="1" applyAlignment="1">
      <x:alignment vertical="top" wrapText="1"/>
    </x:xf>
    <x:xf numFmtId="0" fontId="15" fillId="10" borderId="19" xfId="0" applyNumberFormat="1" applyFont="1" applyFill="1" applyBorder="1" applyAlignment="1">
      <x:alignment vertical="top" wrapText="1"/>
    </x:xf>
    <x:xf numFmtId="0" fontId="12" fillId="10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/>
    </x:xf>
    <x:xf numFmtId="0" fontId="13" fillId="2" borderId="4" xfId="0" applyNumberFormat="1" applyFont="1" applyFill="1" applyBorder="1" applyAlignment="1">
      <x:alignment horizontal="center" wrapText="1"/>
    </x:xf>
    <x:xf numFmtId="0" fontId="13" fillId="2" borderId="17" xfId="0" applyNumberFormat="1" applyFont="1" applyFill="1" applyBorder="1" applyAlignment="1">
      <x:alignment horizontal="center" wrapText="1"/>
    </x:xf>
    <x:xf numFmtId="0" fontId="13" fillId="2" borderId="3" xfId="0" applyNumberFormat="1" applyFont="1" applyFill="1" applyBorder="1" applyAlignment="1">
      <x:alignment horizontal="center" wrapText="1"/>
    </x:xf>
    <x:xf numFmtId="0" fontId="14" fillId="0" borderId="18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2" fillId="0" borderId="19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3" fillId="2" borderId="4" xfId="0" applyNumberFormat="1" applyFont="1" applyFill="1" applyBorder="1" applyAlignment="1">
      <x:alignment horizontal="center"/>
    </x:xf>
    <x:xf numFmtId="0" fontId="13" fillId="2" borderId="3" xfId="0" applyNumberFormat="1" applyFont="1" applyFill="1" applyBorder="1" applyAlignment="1">
      <x:alignment horizontal="center"/>
    </x:xf>
    <x:xf numFmtId="0" fontId="12" fillId="3" borderId="18" xfId="0" applyNumberFormat="1" applyFont="1" applyFill="1" applyBorder="1"/>
    <x:xf numFmtId="0" fontId="12" fillId="3" borderId="13" xfId="0" applyNumberFormat="1" applyFont="1" applyFill="1" applyBorder="1"/>
    <x:xf numFmtId="0" fontId="12" fillId="3" borderId="2" xfId="0" applyNumberFormat="1" applyFont="1" applyFill="1" applyBorder="1"/>
    <x:xf numFmtId="0" fontId="1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54acf5d4b4b52" /><Relationship Type="http://schemas.openxmlformats.org/officeDocument/2006/relationships/theme" Target="/xl/theme/theme1.xml" Id="R94e1d765630449b2" /><Relationship Type="http://schemas.openxmlformats.org/officeDocument/2006/relationships/sharedStrings" Target="/xl/sharedStrings.xml" Id="R5542f409301d4d7c" /><Relationship Type="http://schemas.openxmlformats.org/officeDocument/2006/relationships/worksheet" Target="/xl/worksheets/sheet1.xml" Id="R2dd62401c75a42a3" /><Relationship Type="http://schemas.openxmlformats.org/officeDocument/2006/relationships/worksheet" Target="/xl/worksheets/sheet2.xml" Id="R4051537745cd45f1" /><Relationship Type="http://schemas.openxmlformats.org/officeDocument/2006/relationships/worksheet" Target="/xl/worksheets/sheet3.xml" Id="R5ce1abd616e64244" /><Relationship Type="http://schemas.openxmlformats.org/officeDocument/2006/relationships/worksheet" Target="/xl/worksheets/sheet4.xml" Id="Rffdd91dea9354738" /></Relationships>
</file>

<file path=xl/tables/table1.xml><?xml version="1.0" encoding="utf-8"?>
<x:table xmlns:x="http://schemas.openxmlformats.org/spreadsheetml/2006/main" id="1" name="DataPlanTable" displayName="DataPlanTable" ref="A7:N15" headerRowCount="1" totalsRowCount="0" totalsRowShown="0">
  <x:tableColumns count="14">
    <x:tableColumn id="1" name="STT"/>
    <x:tableColumn id="2" name="Loại dữ liệu"/>
    <x:tableColumn id="3" name="Mục đích"/>
    <x:tableColumn id="4" name="Nội dung cần thu thập"/>
    <x:tableColumn id="5" name="Nơi tiếp nhận"/>
    <x:tableColumn id="6" name="Nơi chuẩn hóa"/>
    <x:tableColumn id="7" name="Bảng Supabase/runtime"/>
    <x:tableColumn id="8" name="Số lượng mục tiêu"/>
    <x:tableColumn id="9" name="Số lượng đã làm"/>
    <x:tableColumn id="10" name="Còn thiếu"/>
    <x:tableColumn id="11" name="Tỷ lệ hoàn thành"/>
    <x:tableColumn id="12" name="Tên thành viên làm"/>
    <x:tableColumn id="13" name="Trạng thái"/>
    <x:tableColumn id="14" name="Lưu 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abaseExamplesTable" displayName="SupabaseExamplesTable" ref="A3:F27" headerRowCount="1" totalsRowCount="0" totalsRowShown="0">
  <x:tableColumns count="6">
    <x:tableColumn id="1" name="Mã ví dụ"/>
    <x:tableColumn id="2" name="Loại dữ liệu"/>
    <x:tableColumn id="3" name="JSON/JSONL mẫu"/>
    <x:tableColumn id="4" name="Bảng đích"/>
    <x:tableColumn id="5" name="Nơi chuẩn hóa"/>
    <x:tableColumn id="6" name="Kiểm tra trước khi đẩ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RulesTable" displayName="DataRulesTable" ref="A3:D10" headerRowCount="1" totalsRowCount="0" totalsRowShown="0">
  <x:tableColumns count="4">
    <x:tableColumn id="1" name="Quy tắc"/>
    <x:tableColumn id="2" name="Bắt buộc"/>
    <x:tableColumn id="3" name="Ví dụ đúng"/>
    <x:tableColumn id="4" name="Ví dụ không được đưa vào run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d8c6f937294d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cbde82848d41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a487a5cbf543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44" hidden="0" customWidth="1"/>
    <x:col min="5" max="5" width="25" hidden="0" customWidth="1"/>
    <x:col min="6" max="6" width="32" hidden="0" customWidth="1"/>
    <x:col min="7" max="7" width="46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28" hidden="0" customWidth="1"/>
    <x:col min="13" max="13" width="16" hidden="0" customWidth="1"/>
    <x:col min="14" max="14" width="38" hidden="0" customWidth="1"/>
  </x:cols>
  <x:sheetData>
    <x:row r="1" ht="32" customHeight="1">
      <x:c r="A1" s="195" t="str">
        <x:v>P-232 | Kế hoạch bổ sung dữ liệu cho Supabase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>
      <x:c r="A3" s="80" t="str">
        <x:v>Tổng mục dữ liệu</x:v>
      </x:c>
      <x:c r="B3" s="81"/>
      <x:c r="C3" s="79"/>
      <x:c r="D3" s="80" t="str">
        <x:v>Tổng mục tiêu</x:v>
      </x:c>
      <x:c r="E3" s="81"/>
      <x:c r="F3" s="79"/>
      <x:c r="G3" s="80" t="str">
        <x:v>Đã làm</x:v>
      </x:c>
      <x:c r="H3" s="81"/>
      <x:c r="I3" s="79"/>
      <x:c r="J3" s="80" t="str">
        <x:v>Tỷ lệ chung</x:v>
      </x:c>
      <x:c r="K3" s="81"/>
      <x:c r="L3" s="79"/>
      <x:c r="M3" s="79"/>
      <x:c r="N3" s="79"/>
    </x:row>
    <x:row r="4">
      <x:c r="A4" s="82" t="n">
        <x:f>COUNTA(B8:B15)</x:f>
        <x:v>8</x:v>
      </x:c>
      <x:c r="B4" s="83"/>
      <x:c r="C4" s="79"/>
      <x:c r="D4" s="82" t="n">
        <x:f>SUM(H8:H15)</x:f>
        <x:v>1195</x:v>
      </x:c>
      <x:c r="E4" s="83"/>
      <x:c r="F4" s="79"/>
      <x:c r="G4" s="82" t="n">
        <x:f>SUM(I8:I15)</x:f>
        <x:v>75</x:v>
      </x:c>
      <x:c r="H4" s="83"/>
      <x:c r="I4" s="79"/>
      <x:c r="J4" s="84" t="n">
        <x:f>IF(D4=0,0,G4/D4)</x:f>
        <x:v>0.06276150627615062</x:v>
      </x:c>
      <x:c r="K4" s="83"/>
      <x:c r="L4" s="79"/>
      <x:c r="M4" s="79"/>
      <x:c r="N4" s="79"/>
    </x:row>
    <x:row r="5">
      <x:c r="A5" s="79"/>
      <x:c r="B5" s="79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</x:row>
    <x:row r="6">
      <x:c r="A6" s="79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</x:row>
    <x:row r="7" ht="34" customHeight="1">
      <x:c r="A7" s="114" t="str">
        <x:v>STT</x:v>
      </x:c>
      <x:c r="B7" s="115" t="str">
        <x:v>Loại dữ liệu</x:v>
      </x:c>
      <x:c r="C7" s="115" t="str">
        <x:v>Mục đích</x:v>
      </x:c>
      <x:c r="D7" s="115" t="str">
        <x:v>Nội dung cần thu thập</x:v>
      </x:c>
      <x:c r="E7" s="115" t="str">
        <x:v>Nơi tiếp nhận</x:v>
      </x:c>
      <x:c r="F7" s="115" t="str">
        <x:v>Nơi chuẩn hóa</x:v>
      </x:c>
      <x:c r="G7" s="115" t="str">
        <x:v>Bảng Supabase/runtime</x:v>
      </x:c>
      <x:c r="H7" s="115" t="str">
        <x:v>Số lượng mục tiêu</x:v>
      </x:c>
      <x:c r="I7" s="115" t="str">
        <x:v>Số lượng đã làm</x:v>
      </x:c>
      <x:c r="J7" s="115" t="str">
        <x:v>Còn thiếu</x:v>
      </x:c>
      <x:c r="K7" s="115" t="str">
        <x:v>Tỷ lệ hoàn thành</x:v>
      </x:c>
      <x:c r="L7" s="115" t="str">
        <x:v>Tên thành viên làm</x:v>
      </x:c>
      <x:c r="M7" s="115" t="str">
        <x:v>Trạng thái</x:v>
      </x:c>
      <x:c r="N7" s="116" t="str">
        <x:v>Lưu ý</x:v>
      </x:c>
    </x:row>
    <x:row r="8">
      <x:c r="A8" s="88" t="n">
        <x:v>1</x:v>
      </x:c>
      <x:c r="B8" s="89" t="str">
        <x:v>Moderation context có nhãn</x:v>
      </x:c>
      <x:c r="C8" s="89" t="str">
        <x:v>Đánh giá Gate 2: phân biệt vi phạm thật với đùa, game, trích dẫn</x:v>
      </x:c>
      <x:c r="D8" s="89" t="str">
        <x:v>Tin hiện tại + 5–12 tin gần đó + nhãn allow/alert + category + lý do</x:v>
      </x:c>
      <x:c r="E8" s="89" t="str">
        <x:v>QA tổng hợp từ Discord/Telegram</x:v>
      </x:c>
      <x:c r="F8" s="89" t="str">
        <x:v>data/90_exports/eval/moderation_eval.jsonl</x:v>
      </x:c>
      <x:c r="G8" s="89" t="str">
        <x:v>Không dùng runtime; đối chiếu operations_messages + operations_gate_runs</x:v>
      </x:c>
      <x:c r="H8" s="90" t="n">
        <x:v>300</x:v>
      </x:c>
      <x:c r="I8" s="90" t="n">
        <x:v>0</x:v>
      </x:c>
      <x:c r="J8" s="90" t="n">
        <x:f>MAX(H8-I8,0)</x:f>
        <x:v>300</x:v>
      </x:c>
      <x:c r="K8" s="91" t="n">
        <x:f>IF(H8=0,0,I8/H8)</x:f>
        <x:v>0</x:v>
      </x:c>
      <x:c r="L8" s="89" t="str">
        <x:v>Nguyễn Chiến Thắng (QA)</x:v>
      </x:c>
      <x:c r="M8" s="89" t="str">
        <x:v>Chưa bắt đầu</x:v>
      </x:c>
      <x:c r="N8" s="92" t="str">
        <x:v>Cân bằng case vi phạm và case vô hại.</x:v>
      </x:c>
    </x:row>
    <x:row r="9">
      <x:c r="A9" s="88" t="n">
        <x:v>2</x:v>
      </x:c>
      <x:c r="B9" s="89" t="str">
        <x:v>Moderation mark Admin xác nhận</x:v>
      </x:c>
      <x:c r="C9" s="89" t="str">
        <x:v>Làm trí nhớ Gate 3 để không gửi lặp cảnh báo</x:v>
      </x:c>
      <x:c r="D9" s="89" t="str">
        <x:v>Chỉ case Admin/Mod xác nhận là vi phạm, có reason, category, marked_by</x:v>
      </x:c>
      <x:c r="E9" s="89" t="str">
        <x:v>Incident trên Admin dashboard</x:v>
      </x:c>
      <x:c r="F9" s="89" t="str">
        <x:v>Admin/Mod duyệt trực tiếp</x:v>
      </x:c>
      <x:c r="G9" s="89" t="str">
        <x:v>operations_moderation_marks + operations_moderation_embeddings</x:v>
      </x:c>
      <x:c r="H9" s="90" t="n">
        <x:v>50</x:v>
      </x:c>
      <x:c r="I9" s="90" t="n">
        <x:v>5</x:v>
      </x:c>
      <x:c r="J9" s="90" t="n">
        <x:f>MAX(H9-I9,0)</x:f>
        <x:v>45</x:v>
      </x:c>
      <x:c r="K9" s="91" t="n">
        <x:f>IF(H9=0,0,I9/H9)</x:f>
        <x:v>0.1</x:v>
      </x:c>
      <x:c r="L9" s="89" t="str">
        <x:v>Nguyễn Chiến Thắng (QA)</x:v>
      </x:c>
      <x:c r="M9" s="89" t="str">
        <x:v>Cần kiểm tra</x:v>
      </x:c>
      <x:c r="N9" s="92" t="str">
        <x:v>Không đưa case game hoặc false positive vào memory.</x:v>
      </x:c>
    </x:row>
    <x:row r="10">
      <x:c r="A10" s="93" t="n">
        <x:v>3</x:v>
      </x:c>
      <x:c r="B10" s="94" t="str">
        <x:v>Policy cộng đồng</x:v>
      </x:c>
      <x:c r="C10" s="94" t="str">
        <x:v>Mở rộng Rule/Fast Filter và ngoại lệ ngữ cảnh</x:v>
      </x:c>
      <x:c r="D10" s="94" t="str">
        <x:v>Tên policy, category, action, trigger_terms, ví dụ dương và ngoại lệ</x:v>
      </x:c>
      <x:c r="E10" s="94" t="str">
        <x:v>Trang Quy tắc AI</x:v>
      </x:c>
      <x:c r="F10" s="94" t="str">
        <x:v>Payload PolicyUpsertRequest</x:v>
      </x:c>
      <x:c r="G10" s="94" t="str">
        <x:v>operations_policies</x:v>
      </x:c>
      <x:c r="H10" s="95" t="n">
        <x:v>15</x:v>
      </x:c>
      <x:c r="I10" s="95" t="n">
        <x:v>3</x:v>
      </x:c>
      <x:c r="J10" s="95" t="n">
        <x:f>MAX(H10-I10,0)</x:f>
        <x:v>12</x:v>
      </x:c>
      <x:c r="K10" s="96" t="n">
        <x:f>IF(H10=0,0,I10/H10)</x:f>
        <x:v>0.2</x:v>
      </x:c>
      <x:c r="L10" s="94" t="str">
        <x:v>Bùi Hữu Nghĩa (Model)</x:v>
      </x:c>
      <x:c r="M10" s="94" t="str">
        <x:v>Đang làm</x:v>
      </x:c>
      <x:c r="N10" s="97" t="str">
        <x:v>Từ khóa rộng như 'đánh' phải có ví dụ ngoại lệ.</x:v>
      </x:c>
    </x:row>
    <x:row r="11">
      <x:c r="A11" s="98" t="n">
        <x:v>4</x:v>
      </x:c>
      <x:c r="B11" s="99" t="str">
        <x:v>FAQ intent và routing eval</x:v>
      </x:c>
      <x:c r="C11" s="99" t="str">
        <x:v>Không đưa lời chào, rủ chơi game, chửi tục vào Top 10</x:v>
      </x:c>
      <x:c r="D11" s="99" t="str">
        <x:v>Tin tag bot + is_question + faq_eligible + route Rule/FAQ/RAG/LLM/Moderation</x:v>
      </x:c>
      <x:c r="E11" s="99" t="str">
        <x:v>QA lấy từ log Discord/Telegram</x:v>
      </x:c>
      <x:c r="F11" s="99" t="str">
        <x:v>data/90_exports/eval/faq_routing_eval.jsonl</x:v>
      </x:c>
      <x:c r="G11" s="99" t="str">
        <x:v>Không dùng runtime; dùng để kiểm tra classifier</x:v>
      </x:c>
      <x:c r="H11" s="100" t="n">
        <x:v>300</x:v>
      </x:c>
      <x:c r="I11" s="100" t="n">
        <x:v>0</x:v>
      </x:c>
      <x:c r="J11" s="100" t="n">
        <x:f>MAX(H11-I11,0)</x:f>
        <x:v>300</x:v>
      </x:c>
      <x:c r="K11" s="101" t="n">
        <x:f>IF(H11=0,0,I11/H11)</x:f>
        <x:v>0</x:v>
      </x:c>
      <x:c r="L11" s="99" t="str">
        <x:v>Nguyễn Chiến Thắng (QA)</x:v>
      </x:c>
      <x:c r="M11" s="99" t="str">
        <x:v>Chưa bắt đầu</x:v>
      </x:c>
      <x:c r="N11" s="102" t="str">
        <x:v>Câu có dấu ? chưa chắc là FAQ.</x:v>
      </x:c>
    </x:row>
    <x:row r="12">
      <x:c r="A12" s="98" t="n">
        <x:v>5</x:v>
      </x:c>
      <x:c r="B12" s="99" t="str">
        <x:v>Cặp câu cùng ý định</x:v>
      </x:c>
      <x:c r="C12" s="99" t="str">
        <x:v>Kiểm tra embedding + LLM clustering FAQ</x:v>
      </x:c>
      <x:c r="D12" s="99" t="str">
        <x:v>question_a, question_b, same_intent, topic, lý do</x:v>
      </x:c>
      <x:c r="E12" s="99" t="str">
        <x:v>QA tạo từ câu hỏi member</x:v>
      </x:c>
      <x:c r="F12" s="99" t="str">
        <x:v>data/90_exports/eval/faq_pairs.jsonl</x:v>
      </x:c>
      <x:c r="G12" s="99" t="str">
        <x:v>Không dùng runtime; dùng để đánh giá clustering</x:v>
      </x:c>
      <x:c r="H12" s="100" t="n">
        <x:v>200</x:v>
      </x:c>
      <x:c r="I12" s="100" t="n">
        <x:v>0</x:v>
      </x:c>
      <x:c r="J12" s="100" t="n">
        <x:f>MAX(H12-I12,0)</x:f>
        <x:v>200</x:v>
      </x:c>
      <x:c r="K12" s="101" t="n">
        <x:f>IF(H12=0,0,I12/H12)</x:f>
        <x:v>0</x:v>
      </x:c>
      <x:c r="L12" s="99" t="str">
        <x:v>Bùi Hữu Nghĩa (Model)</x:v>
      </x:c>
      <x:c r="M12" s="99" t="str">
        <x:v>Chưa bắt đầu</x:v>
      </x:c>
      <x:c r="N12" s="102" t="str">
        <x:v>Có cả cặp cùng ý và cặp chỉ giống từ khóa.</x:v>
      </x:c>
    </x:row>
    <x:row r="13">
      <x:c r="A13" s="103" t="n">
        <x:v>6</x:v>
      </x:c>
      <x:c r="B13" s="104" t="str">
        <x:v>FAQ đã duyệt</x:v>
      </x:c>
      <x:c r="C13" s="104" t="str">
        <x:v>Trả lời ngay không gọi RAG/LLM khi đã có đáp án chuẩn</x:v>
      </x:c>
      <x:c r="D13" s="104" t="str">
        <x:v>faq_id, question, answer, tags, active, source_cluster_id</x:v>
      </x:c>
      <x:c r="E13" s="104" t="str">
        <x:v>Top 10 FAQ/Admin dashboard</x:v>
      </x:c>
      <x:c r="F13" s="104" t="str">
        <x:v>Admin duyệt và upsert</x:v>
      </x:c>
      <x:c r="G13" s="104" t="str">
        <x:v>operations_faqs + operations_faq_embeddings</x:v>
      </x:c>
      <x:c r="H13" s="105" t="n">
        <x:v>50</x:v>
      </x:c>
      <x:c r="I13" s="105" t="n">
        <x:v>10</x:v>
      </x:c>
      <x:c r="J13" s="105" t="n">
        <x:f>MAX(H13-I13,0)</x:f>
        <x:v>40</x:v>
      </x:c>
      <x:c r="K13" s="106" t="n">
        <x:f>IF(H13=0,0,I13/H13)</x:f>
        <x:v>0.2</x:v>
      </x:c>
      <x:c r="L13" s="104" t="str">
        <x:v>Hà Nhật Khánh Duy (Data Analyst)</x:v>
      </x:c>
      <x:c r="M13" s="104" t="str">
        <x:v>Đang làm</x:v>
      </x:c>
      <x:c r="N13" s="107" t="str">
        <x:v>Embedding được backend tạo; không nhập vector thủ công.</x:v>
      </x:c>
    </x:row>
    <x:row r="14">
      <x:c r="A14" s="103" t="n">
        <x:v>7</x:v>
      </x:c>
      <x:c r="B14" s="104" t="str">
        <x:v>Knowledge có nguồn</x:v>
      </x:c>
      <x:c r="C14" s="104" t="str">
        <x:v>RAG trả lời tài liệu đúng và có trích dẫn</x:v>
      </x:c>
      <x:c r="D14" s="104" t="str">
        <x:v>Tài liệu ổn định: title, body, tags, dataset, source_file, version</x:v>
      </x:c>
      <x:c r="E14" s="104" t="str">
        <x:v>Upload web/Admin</x:v>
      </x:c>
      <x:c r="F14" s="104" t="str">
        <x:v>Importer raw → normalized → chunks → embeddings</x:v>
      </x:c>
      <x:c r="G14" s="104" t="str">
        <x:v>operations_knowledge_imports → knowledge_documents → knowledge_sections → knowledge_section_embeddings</x:v>
      </x:c>
      <x:c r="H14" s="105" t="n">
        <x:v>80</x:v>
      </x:c>
      <x:c r="I14" s="105" t="n">
        <x:v>57</x:v>
      </x:c>
      <x:c r="J14" s="105" t="n">
        <x:f>MAX(H14-I14,0)</x:f>
        <x:v>23</x:v>
      </x:c>
      <x:c r="K14" s="106" t="n">
        <x:f>IF(H14=0,0,I14/H14)</x:f>
        <x:v>0.7125</x:v>
      </x:c>
      <x:c r="L14" s="104" t="str">
        <x:v>Hà Nhật Khánh Duy (Data Analyst)</x:v>
      </x:c>
      <x:c r="M14" s="104" t="str">
        <x:v>Cần kiểm tra</x:v>
      </x:c>
      <x:c r="N14" s="107" t="str">
        <x:v>20 tài liệu hiện chưa có chunk; tài liệu patch cần hạn sử dụng.</x:v>
      </x:c>
    </x:row>
    <x:row r="15">
      <x:c r="A15" s="108" t="n">
        <x:v>8</x:v>
      </x:c>
      <x:c r="B15" s="109" t="str">
        <x:v>RAG evaluation</x:v>
      </x:c>
      <x:c r="C15" s="109" t="str">
        <x:v>Hiệu chỉnh reranking/relevance và kiểm tra abstain</x:v>
      </x:c>
      <x:c r="D15" s="109" t="str">
        <x:v>query, expected_document_id, expected_answer_contains, should_abstain</x:v>
      </x:c>
      <x:c r="E15" s="109" t="str">
        <x:v>QA tạo từ tài liệu đã duyệt</x:v>
      </x:c>
      <x:c r="F15" s="109" t="str">
        <x:v>data/90_exports/eval/rag_eval.jsonl</x:v>
      </x:c>
      <x:c r="G15" s="109" t="str">
        <x:v>Không dùng runtime; chỉ dùng đánh giá retrieval</x:v>
      </x:c>
      <x:c r="H15" s="110" t="n">
        <x:v>200</x:v>
      </x:c>
      <x:c r="I15" s="110" t="n">
        <x:v>0</x:v>
      </x:c>
      <x:c r="J15" s="110" t="n">
        <x:f>MAX(H15-I15,0)</x:f>
        <x:v>200</x:v>
      </x:c>
      <x:c r="K15" s="111" t="n">
        <x:f>IF(H15=0,0,I15/H15)</x:f>
        <x:v>0</x:v>
      </x:c>
      <x:c r="L15" s="109" t="str">
        <x:v>Nguyễn Chiến Thắng (QA)</x:v>
      </x:c>
      <x:c r="M15" s="109" t="str">
        <x:v>Chưa bắt đầu</x:v>
      </x:c>
      <x:c r="N15" s="112" t="str">
        <x:v>Có positive, paraphrase, typo, hard negative và câu ngoài nguồn.</x:v>
      </x:c>
    </x:row>
  </x:sheetData>
  <x:mergeCells>
    <x:mergeCell ref="A1:N1"/>
  </x:mergeCells>
  <x:dataValidations count="2">
    <x:dataValidation type="list" sqref="M8:M15">
      <x:formula1>"Chưa bắt đầu,Đang làm,Cần kiểm tra,Đã đủ,Không áp dụng"</x:formula1>
    </x:dataValidation>
    <x:dataValidation type="list" sqref="L8:L15">
      <x:formula1>"Nguyễn Chiến Thắng (QA),Bùi Hữu Nghĩa (Model),Nguyễn Thái Tú (Web dev),Hà Nhật Khánh Duy (Data Analyst)"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d8c6f937294d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92" hidden="0" customWidth="1"/>
    <x:col min="4" max="4" width="30" hidden="0" customWidth="1"/>
    <x:col min="5" max="5" width="36" hidden="0" customWidth="1"/>
    <x:col min="6" max="6" width="52" hidden="0" customWidth="1"/>
  </x:cols>
  <x:sheetData>
    <x:row r="1" ht="30" customHeight="1">
      <x:c r="A1" s="196" t="str">
        <x:v>Ví dụ payload chuẩn hóa cho Supabase và bộ đánh giá</x:v>
      </x:c>
      <x:c r="B1" s="196"/>
      <x:c r="C1" s="196"/>
      <x:c r="D1" s="196"/>
      <x:c r="E1" s="196"/>
      <x:c r="F1" s="196"/>
    </x:row>
    <x:row r="2">
      <x:c r="A2" s="197"/>
      <x:c r="B2" s="197"/>
      <x:c r="C2" s="197"/>
      <x:c r="D2" s="197"/>
      <x:c r="E2" s="197"/>
      <x:c r="F2" s="197"/>
    </x:row>
    <x:row r="3">
      <x:c r="A3" s="198" t="str">
        <x:v>Mã ví dụ</x:v>
      </x:c>
      <x:c r="B3" s="199" t="str">
        <x:v>Loại dữ liệu</x:v>
      </x:c>
      <x:c r="C3" s="199" t="str">
        <x:v>JSON/JSONL mẫu</x:v>
      </x:c>
      <x:c r="D3" s="199" t="str">
        <x:v>Bảng đích</x:v>
      </x:c>
      <x:c r="E3" s="199" t="str">
        <x:v>Nơi chuẩn hóa</x:v>
      </x:c>
      <x:c r="F3" s="200" t="str">
        <x:v>Kiểm tra trước khi đẩy</x:v>
      </x:c>
    </x:row>
    <x:row r="4" ht="92" customHeight="1">
      <x:c r="A4" s="201" t="str">
        <x:v>CTX-001</x:v>
      </x:c>
      <x:c r="B4" s="202" t="str">
        <x:v>Moderation context có nhãn</x:v>
      </x:c>
      <x:c r="C4" s="203" t="str">
        <x:v>{"case_id":"CTX-001","target_text":"đánh liên quân không anh em?","context":["Tối đánh rank không?","Ok vào game"],"label":"allow","category":"benign_activity","should_send_to_admin":false,"review_reason":"Mời chơi game, không có mục tiêu gây hại.","reviewed_by":"QA","source":"discord:test"}</x:v>
      </x:c>
      <x:c r="D4" s="202" t="str">
        <x:v>Bộ eval, không runtime</x:v>
      </x:c>
      <x:c r="E4" s="202" t="str">
        <x:v>data/90_exports/eval/moderation_eval.jsonl</x:v>
      </x:c>
      <x:c r="F4" s="204" t="str">
        <x:v>Giữ context theo thứ tự thời gian; không chỉ lưu target.</x:v>
      </x:c>
    </x:row>
    <x:row r="5" ht="92" customHeight="1">
      <x:c r="A5" s="201" t="str">
        <x:v>CTX-002</x:v>
      </x:c>
      <x:c r="B5" s="202" t="str">
        <x:v>Moderation context có nhãn</x:v>
      </x:c>
      <x:c r="C5" s="203" t="str">
        <x:v>{"case_id":"CTX-002","target_text":"bố chém chết m bây giờ","context":["Mày thích gây chuyện à?","Tao biết chỗ mày học"],"label":"alert","category":"violence","should_send_to_admin":true,"review_reason":"Đe dọa trực tiếp, có mục tiêu rõ.","reviewed_by":"QA","source":"discord:test"}</x:v>
      </x:c>
      <x:c r="D5" s="202" t="str">
        <x:v>Bộ eval, không runtime</x:v>
      </x:c>
      <x:c r="E5" s="202" t="str">
        <x:v>data/90_exports/eval/moderation_eval.jsonl</x:v>
      </x:c>
      <x:c r="F5" s="204" t="str">
        <x:v>Case này không dùng để tự động xóa; chỉ đánh giá Gate 2.</x:v>
      </x:c>
    </x:row>
    <x:row r="6" ht="92" customHeight="1">
      <x:c r="A6" s="201" t="str">
        <x:v>CTX-003</x:v>
      </x:c>
      <x:c r="B6" s="202" t="str">
        <x:v>Moderation context có nhãn</x:v>
      </x:c>
      <x:c r="C6" s="203" t="str">
        <x:v>{"case_id":"CTX-003","target_text":"Từ 'ngu' trong nội quy nghĩa là gì?","context":["Mình đang đọc policy","Cho mình ví dụ cách dùng từ"],"label":"allow","category":"quoted_or_educational","should_send_to_admin":false,"review_reason":"Đang trích dẫn/giải thích từ, không công kích người cụ thể.","reviewed_by":"QA","source":"discord:test"}</x:v>
      </x:c>
      <x:c r="D6" s="202" t="str">
        <x:v>Bộ eval, không runtime</x:v>
      </x:c>
      <x:c r="E6" s="202" t="str">
        <x:v>data/90_exports/eval/moderation_eval.jsonl</x:v>
      </x:c>
      <x:c r="F6" s="204" t="str">
        <x:v>Có negative case để tránh bắt nhầm từ khóa.</x:v>
      </x:c>
    </x:row>
    <x:row r="7" ht="92" customHeight="1">
      <x:c r="A7" s="205" t="str">
        <x:v>MM-001</x:v>
      </x:c>
      <x:c r="B7" s="206" t="str">
        <x:v>Moderation mark Admin xác nhận</x:v>
      </x:c>
      <x:c r="C7" s="207" t="str">
        <x:v>{"mark_id":"MM-001","incident_id":"INC-001","message_id":"MSG-001","text":"Mày ngu quá, cút đi","normalized_text":"may ngu qua cut di","category":"harassment","decision":"warn","reason":"Công kích cá nhân trực tiếp","marked_by":"admin@example.com","marked_at":"2026-08-20T09:00:00Z","active":true,"version":1}</x:v>
      </x:c>
      <x:c r="D7" s="206" t="str">
        <x:v>operations_moderation_marks</x:v>
      </x:c>
      <x:c r="E7" s="206" t="str">
        <x:v>Admin/Mod duyệt incident</x:v>
      </x:c>
      <x:c r="F7" s="208" t="str">
        <x:v>Chỉ lưu sau khi người có quyền xác nhận; embedding do backend tạo.</x:v>
      </x:c>
    </x:row>
    <x:row r="8" ht="92" customHeight="1">
      <x:c r="A8" s="205" t="str">
        <x:v>MM-002</x:v>
      </x:c>
      <x:c r="B8" s="206" t="str">
        <x:v>Moderation mark Admin xác nhận</x:v>
      </x:c>
      <x:c r="C8" s="207" t="str">
        <x:v>{"mark_id":"MM-002","incident_id":"INC-002","message_id":"MSG-002","text":"Click link nhận quà miễn phí tại đây","normalized_text":"click link nhan qua mien phi tai day","category":"spam","decision":"hide","reason":"Quảng cáo/link đáng ngờ","marked_by":"mod@example.com","marked_at":"2026-08-20T09:05:00Z","active":true,"version":1}</x:v>
      </x:c>
      <x:c r="D8" s="206" t="str">
        <x:v>operations_moderation_marks</x:v>
      </x:c>
      <x:c r="E8" s="206" t="str">
        <x:v>Admin/Mod duyệt incident</x:v>
      </x:c>
      <x:c r="F8" s="208" t="str">
        <x:v>Không gán mark cho câu chưa rõ hoặc câu đùa.</x:v>
      </x:c>
    </x:row>
    <x:row r="9" ht="92" customHeight="1">
      <x:c r="A9" s="205" t="str">
        <x:v>MM-003</x:v>
      </x:c>
      <x:c r="B9" s="206" t="str">
        <x:v>Moderation mark Admin xác nhận</x:v>
      </x:c>
      <x:c r="C9" s="207" t="str">
        <x:v>{"mark_id":"MM-003","incident_id":"INC-003","message_id":"MSG-003","text":"Tao sẽ tìm ra mày rồi xử lý","normalized_text":"tao se tim ra may roi xu ly","category":"violence","decision":"hold_for_review","reason":"Đe dọa có mục tiêu, cần Admin/Mod xem xét","marked_by":"admin@example.com","marked_at":"2026-08-20T09:10:00Z","active":true,"version":1}</x:v>
      </x:c>
      <x:c r="D9" s="206" t="str">
        <x:v>operations_moderation_marks</x:v>
      </x:c>
      <x:c r="E9" s="206" t="str">
        <x:v>Admin/Mod duyệt incident</x:v>
      </x:c>
      <x:c r="F9" s="208" t="str">
        <x:v>Case có thể sinh operations_moderation_embeddings sau khi xác nhận.</x:v>
      </x:c>
    </x:row>
    <x:row r="10" ht="92" customHeight="1">
      <x:c r="A10" s="209" t="str">
        <x:v>POL-001</x:v>
      </x:c>
      <x:c r="B10" s="210" t="str">
        <x:v>Policy cộng đồng</x:v>
      </x:c>
      <x:c r="C10" s="211" t="str">
        <x:v>{"policy_id":"POL-001","name":"Quảng cáo và link đáng ngờ","description":"Repeated promotion, phishing or suspicious money links.","category":"spam","action":"hide","trigger_terms":["free money","click link","giveaway","nhận tiền"],"active":true,"version":1}</x:v>
      </x:c>
      <x:c r="D10" s="210" t="str">
        <x:v>operations_policies</x:v>
      </x:c>
      <x:c r="E10" s="210" t="str">
        <x:v>Payload PolicyUpsertRequest</x:v>
      </x:c>
      <x:c r="F10" s="212" t="str">
        <x:v>Category/action phải thuộc enum backend; thêm ví dụ ngoại lệ vào dataset eval.</x:v>
      </x:c>
    </x:row>
    <x:row r="11" ht="92" customHeight="1">
      <x:c r="A11" s="209" t="str">
        <x:v>POL-002</x:v>
      </x:c>
      <x:c r="B11" s="210" t="str">
        <x:v>Policy cộng đồng</x:v>
      </x:c>
      <x:c r="C11" s="211" t="str">
        <x:v>{"policy_id":"POL-002","name":"Công kích cá nhân","description":"Insults or direct humiliation of another participant.","category":"harassment","action":"warn","trigger_terms":["ngu","đần","vô dụng","im đi"],"active":true,"version":1}</x:v>
      </x:c>
      <x:c r="D11" s="210" t="str">
        <x:v>operations_policies</x:v>
      </x:c>
      <x:c r="E11" s="210" t="str">
        <x:v>Payload PolicyUpsertRequest</x:v>
      </x:c>
      <x:c r="F11" s="212" t="str">
        <x:v>Không dùng trigger term đơn độc làm quyết định cuối.</x:v>
      </x:c>
    </x:row>
    <x:row r="12" ht="92" customHeight="1">
      <x:c r="A12" s="209" t="str">
        <x:v>POL-003</x:v>
      </x:c>
      <x:c r="B12" s="210" t="str">
        <x:v>Policy cộng đồng</x:v>
      </x:c>
      <x:c r="C12" s="211" t="str">
        <x:v>{"policy_id":"POL-003","name":"Đe dọa hoặc doxxing","description":"Direct or indirect threat of physical harm or exposure.","category":"violence","action":"hold_for_review","trigger_terms":["giết","đánh","tìm ra mày","dox"],"active":true,"version":1}</x:v>
      </x:c>
      <x:c r="D12" s="210" t="str">
        <x:v>operations_policies</x:v>
      </x:c>
      <x:c r="E12" s="210" t="str">
        <x:v>Payload PolicyUpsertRequest</x:v>
      </x:c>
      <x:c r="F12" s="212" t="str">
        <x:v>Cần context ngoại lệ như 'đánh rank', 'đánh cầu lông'.</x:v>
      </x:c>
    </x:row>
    <x:row r="13" ht="92" customHeight="1">
      <x:c r="A13" s="213" t="str">
        <x:v>ROUTE-001</x:v>
      </x:c>
      <x:c r="B13" s="214" t="str">
        <x:v>FAQ intent và routing eval</x:v>
      </x:c>
      <x:c r="C13" s="215" t="str">
        <x:v>{"case_id":"ROUTE-001","message_id":"MSG-101","question":"Cách báo spam trong nhóm?","is_question":true,"faq_eligible":true,"route":"faq","expected_reason":"Câu hỏi cộng đồng có thể tái sử dụng","reviewed_by":"QA"}</x:v>
      </x:c>
      <x:c r="D13" s="214" t="str">
        <x:v>Bộ eval, không runtime</x:v>
      </x:c>
      <x:c r="E13" s="214" t="str">
        <x:v>data/90_exports/eval/faq_routing_eval.jsonl</x:v>
      </x:c>
      <x:c r="F13" s="216" t="str">
        <x:v>faq_eligible=true mới được đưa vào Top 10.</x:v>
      </x:c>
    </x:row>
    <x:row r="14" ht="92" customHeight="1">
      <x:c r="A14" s="213" t="str">
        <x:v>ROUTE-002</x:v>
      </x:c>
      <x:c r="B14" s="214" t="str">
        <x:v>FAQ intent và routing eval</x:v>
      </x:c>
      <x:c r="C14" s="215" t="str">
        <x:v>{"case_id":"ROUTE-002","message_id":"MSG-102","question":"Đánh liên quân không anh em?","is_question":true,"faq_eligible":false,"route":"llm","expected_reason":"Lời rủ chơi game, không phải FAQ cộng đồng","reviewed_by":"QA"}</x:v>
      </x:c>
      <x:c r="D14" s="214" t="str">
        <x:v>Bộ eval, không runtime</x:v>
      </x:c>
      <x:c r="E14" s="214" t="str">
        <x:v>data/90_exports/eval/faq_routing_eval.jsonl</x:v>
      </x:c>
      <x:c r="F14" s="216" t="str">
        <x:v>Có thể trả lời LLM/social nhưng không ghi Top 10 FAQ.</x:v>
      </x:c>
    </x:row>
    <x:row r="15" ht="92" customHeight="1">
      <x:c r="A15" s="213" t="str">
        <x:v>ROUTE-003</x:v>
      </x:c>
      <x:c r="B15" s="214" t="str">
        <x:v>FAQ intent và routing eval</x:v>
      </x:c>
      <x:c r="C15" s="215" t="str">
        <x:v>{"case_id":"ROUTE-003","message_id":"MSG-103","question":"Mày là con chó à?","is_question":true,"faq_eligible":false,"route":"moderation","expected_reason":"Câu hỏi mang tính công kích","reviewed_by":"QA"}</x:v>
      </x:c>
      <x:c r="D15" s="214" t="str">
        <x:v>Bộ eval, không runtime</x:v>
      </x:c>
      <x:c r="E15" s="214" t="str">
        <x:v>data/90_exports/eval/faq_routing_eval.jsonl</x:v>
      </x:c>
      <x:c r="F15" s="216" t="str">
        <x:v>Moderation phải chạy trước FAQ analytics.</x:v>
      </x:c>
    </x:row>
    <x:row r="16" ht="92" customHeight="1">
      <x:c r="A16" s="217" t="str">
        <x:v>PAIR-001</x:v>
      </x:c>
      <x:c r="B16" s="218" t="str">
        <x:v>Cặp câu cùng ý định</x:v>
      </x:c>
      <x:c r="C16" s="219" t="str">
        <x:v>{"pair_id":"PAIR-001","question_a":"Cách báo spam trong nhóm?","question_b":"Dùng lệnh gì để report tin nhắn?","same_intent":true,"topic":"báo cáo vi phạm","reviewed_by":"QA"}</x:v>
      </x:c>
      <x:c r="D16" s="218" t="str">
        <x:v>Bộ eval, không runtime</x:v>
      </x:c>
      <x:c r="E16" s="218" t="str">
        <x:v>data/90_exports/eval/faq_pairs.jsonl</x:v>
      </x:c>
      <x:c r="F16" s="220" t="str">
        <x:v>Cùng intent nghĩa là dùng được cùng một đáp án FAQ.</x:v>
      </x:c>
    </x:row>
    <x:row r="17" ht="92" customHeight="1">
      <x:c r="A17" s="217" t="str">
        <x:v>PAIR-002</x:v>
      </x:c>
      <x:c r="B17" s="218" t="str">
        <x:v>Cặp câu cùng ý định</x:v>
      </x:c>
      <x:c r="C17" s="219" t="str">
        <x:v>{"pair_id":"PAIR-002","question_a":"Spam là gì?","question_b":"Cách báo spam trong nhóm?","same_intent":false,"topic":"định nghĩa vs thao tác report","reviewed_by":"QA"}</x:v>
      </x:c>
      <x:c r="D17" s="218" t="str">
        <x:v>Bộ eval, không runtime</x:v>
      </x:c>
      <x:c r="E17" s="218" t="str">
        <x:v>data/90_exports/eval/faq_pairs.jsonl</x:v>
      </x:c>
      <x:c r="F17" s="220" t="str">
        <x:v>Giống từ khóa nhưng không được gộp nếu cần đáp án khác.</x:v>
      </x:c>
    </x:row>
    <x:row r="18" ht="92" customHeight="1">
      <x:c r="A18" s="217" t="str">
        <x:v>PAIR-003</x:v>
      </x:c>
      <x:c r="B18" s="218" t="str">
        <x:v>Cặp câu cùng ý định</x:v>
      </x:c>
      <x:c r="C18" s="219" t="str">
        <x:v>{"pair_id":"PAIR-003","question_a":"Deadline nộp bài tuần này là khi nào?","question_b":"Hạn nộp bài tuần này bao giờ?","same_intent":true,"topic":"deadline nộp bài","reviewed_by":"QA"}</x:v>
      </x:c>
      <x:c r="D18" s="218" t="str">
        <x:v>Bộ eval, không runtime</x:v>
      </x:c>
      <x:c r="E18" s="218" t="str">
        <x:v>data/90_exports/eval/faq_pairs.jsonl</x:v>
      </x:c>
      <x:c r="F18" s="220" t="str">
        <x:v>Nếu deadline thay đổi, FAQ phải có version/validity.</x:v>
      </x:c>
    </x:row>
    <x:row r="19" ht="92" customHeight="1">
      <x:c r="A19" s="221" t="str">
        <x:v>FAQ-001</x:v>
      </x:c>
      <x:c r="B19" s="222" t="str">
        <x:v>FAQ đã duyệt</x:v>
      </x:c>
      <x:c r="C19" s="223" t="str">
        <x:v>{"faq_id":"FAQ-001","question":"Cách báo spam trong nhóm?","answer":"Dùng /report kèm message ID hoặc link và mô tả ngắn. Admin/Mod sẽ xem xét.","tags":["report","moderation"],"active":true,"source_cluster_id":"CL-001"}</x:v>
      </x:c>
      <x:c r="D19" s="222" t="str">
        <x:v>operations_faqs</x:v>
      </x:c>
      <x:c r="E19" s="222" t="str">
        <x:v>Admin duyệt và upsert</x:v>
      </x:c>
      <x:c r="F19" s="224" t="str">
        <x:v>Người duyệt ghi trong audit; embedding question do backend tạo.</x:v>
      </x:c>
    </x:row>
    <x:row r="20" ht="92" customHeight="1">
      <x:c r="A20" s="221" t="str">
        <x:v>FAQ-002</x:v>
      </x:c>
      <x:c r="B20" s="222" t="str">
        <x:v>FAQ đã duyệt</x:v>
      </x:c>
      <x:c r="C20" s="223" t="str">
        <x:v>{"faq_id":"FAQ-002","question":"Làm sao để hỏi bài hiệu quả?","answer":"Nêu môn học, phần đang vướng, điều bạn đã thử và câu hỏi cụ thể; không gửi thông tin cá nhân hoặc đề thi đang diễn ra.","tags":["study","help"],"active":true,"source_cluster_id":"CL-002"}</x:v>
      </x:c>
      <x:c r="D20" s="222" t="str">
        <x:v>operations_faqs</x:v>
      </x:c>
      <x:c r="E20" s="222" t="str">
        <x:v>Admin duyệt và upsert</x:v>
      </x:c>
      <x:c r="F20" s="224" t="str">
        <x:v>Câu trả lời phải ngắn, ổn định và được Admin xác nhận.</x:v>
      </x:c>
    </x:row>
    <x:row r="21" ht="92" customHeight="1">
      <x:c r="A21" s="221" t="str">
        <x:v>FAQ-003</x:v>
      </x:c>
      <x:c r="B21" s="222" t="str">
        <x:v>FAQ đã duyệt</x:v>
      </x:c>
      <x:c r="C21" s="223" t="str">
        <x:v>{"faq_id":"FAQ-003","question":"Nhóm có được xin đáp án thi không?","answer":"Không. Bot chỉ hỗ trợ giải thích kiến thức và phương pháp, không cung cấp đáp án thi hoặc làm hộ bài kiểm tra.","tags":["academic-integrity","assessment"],"active":true,"source_cluster_id":"CL-003"}</x:v>
      </x:c>
      <x:c r="D21" s="222" t="str">
        <x:v>operations_faqs</x:v>
      </x:c>
      <x:c r="E21" s="222" t="str">
        <x:v>Admin duyệt và upsert</x:v>
      </x:c>
      <x:c r="F21" s="224" t="str">
        <x:v>Không đưa dữ liệu đề thi thật hoặc thông tin cá nhân vào answer.</x:v>
      </x:c>
    </x:row>
    <x:row r="22" ht="92" customHeight="1">
      <x:c r="A22" s="225" t="str">
        <x:v>KN-001</x:v>
      </x:c>
      <x:c r="B22" s="226" t="str">
        <x:v>Knowledge có nguồn</x:v>
      </x:c>
      <x:c r="C22" s="227" t="str">
        <x:v>{"document_id":"KN-001","title":"Cách hỏi bài hiệu quả","body":"Nêu môn học, phần đang vướng, điều bạn đã thử và câu hỏi cụ thể.","tags":["study","help"],"dataset":"general","active":true,"import_id":"IMP-001","source_file":"cach-hoi-bai.md"}</x:v>
      </x:c>
      <x:c r="D22" s="226" t="str">
        <x:v>knowledge_documents → knowledge_sections</x:v>
      </x:c>
      <x:c r="E22" s="226" t="str">
        <x:v>Importer raw → normalized → chunks</x:v>
      </x:c>
      <x:c r="F22" s="228" t="str">
        <x:v>Importer tự tạo chunk và embedding; source_file phải truy vết được.</x:v>
      </x:c>
    </x:row>
    <x:row r="23" ht="92" customHeight="1">
      <x:c r="A23" s="225" t="str">
        <x:v>KN-002</x:v>
      </x:c>
      <x:c r="B23" s="226" t="str">
        <x:v>Knowledge có nguồn</x:v>
      </x:c>
      <x:c r="C23" s="227" t="str">
        <x:v>{"document_id":"KN-002","title":"Project-Based Learning","body":"Học bằng dự án kết hợp kiến thức lý thuyết với thực hành thông qua sản phẩm thực tế.","tags":["learning","project"],"dataset":"general","active":true,"import_id":"IMP-002","source_file":"project-based-learning.csv"}</x:v>
      </x:c>
      <x:c r="D23" s="226" t="str">
        <x:v>knowledge_documents → knowledge_sections</x:v>
      </x:c>
      <x:c r="E23" s="226" t="str">
        <x:v>Importer raw → normalized → chunks</x:v>
      </x:c>
      <x:c r="F23" s="228" t="str">
        <x:v>Câu trả lời RAG phải trích document_id/title/chunk.</x:v>
      </x:c>
    </x:row>
    <x:row r="24" ht="92" customHeight="1">
      <x:c r="A24" s="225" t="str">
        <x:v>KN-003</x:v>
      </x:c>
      <x:c r="B24" s="226" t="str">
        <x:v>Knowledge có nguồn</x:v>
      </x:c>
      <x:c r="C24" s="227" t="str">
        <x:v>{"document_id":"KN-003","title":"Liên Minh: Patch 26.15","body":"Tài liệu chiến thuật theo phiên bản 26.15, áp dụng từ 2026-08-01 đến 2026-08-31.","tags":["league-of-legends","patch-26.15"],"dataset":"league_of_legends","active":true,"import_id":"IMP-003","source_file":"patch-26-15.csv"}</x:v>
      </x:c>
      <x:c r="D24" s="226" t="str">
        <x:v>knowledge_documents → knowledge_sections</x:v>
      </x:c>
      <x:c r="E24" s="226" t="str">
        <x:v>Importer raw → normalized → chunks</x:v>
      </x:c>
      <x:c r="F24" s="228" t="str">
        <x:v>Tài liệu patch phải có thời hạn để tránh trả lời stale.</x:v>
      </x:c>
    </x:row>
    <x:row r="25" ht="92" customHeight="1">
      <x:c r="A25" s="229" t="str">
        <x:v>RAG-001</x:v>
      </x:c>
      <x:c r="B25" s="230" t="str">
        <x:v>RAG evaluation</x:v>
      </x:c>
      <x:c r="C25" s="231" t="str">
        <x:v>{"case_id":"RAG-001","query":"Học bằng dự án là gì?","expected_document_id":"KN-002","expected_answer_contains":["sản phẩm thực tế"],"should_abstain":false,"query_type":"paraphrase","reviewed_by":"QA"}</x:v>
      </x:c>
      <x:c r="D25" s="230" t="str">
        <x:v>Bộ eval, không runtime</x:v>
      </x:c>
      <x:c r="E25" s="230" t="str">
        <x:v>data/90_exports/eval/rag_eval.jsonl</x:v>
      </x:c>
      <x:c r="F25" s="232" t="str">
        <x:v>RAG phải chọn đúng document và có citation.</x:v>
      </x:c>
    </x:row>
    <x:row r="26" ht="92" customHeight="1">
      <x:c r="A26" s="229" t="str">
        <x:v>RAG-002</x:v>
      </x:c>
      <x:c r="B26" s="230" t="str">
        <x:v>RAG evaluation</x:v>
      </x:c>
      <x:c r="C26" s="231" t="str">
        <x:v>{"case_id":"RAG-002","query":"Có sự kiện gì cuối tuần này?","expected_document_id":null,"expected_answer_contains":[],"should_abstain":true,"query_type":"missing-current-data","reviewed_by":"QA"}</x:v>
      </x:c>
      <x:c r="D26" s="230" t="str">
        <x:v>Bộ eval, không runtime</x:v>
      </x:c>
      <x:c r="E26" s="230" t="str">
        <x:v>data/90_exports/eval/rag_eval.jsonl</x:v>
      </x:c>
      <x:c r="F26" s="232" t="str">
        <x:v>Không có nguồn hiện hành thì phải abstain hoặc chuyển Admin.</x:v>
      </x:c>
    </x:row>
    <x:row r="27" ht="92" customHeight="1">
      <x:c r="A27" s="233" t="str">
        <x:v>RAG-003</x:v>
      </x:c>
      <x:c r="B27" s="234" t="str">
        <x:v>RAG evaluation</x:v>
      </x:c>
      <x:c r="C27" s="235" t="str">
        <x:v>{"case_id":"RAG-003","query":"Học không giám sát là gì?","expected_document_id":"KN-ML-UNSUPERVISED","expected_answer_contains":["không có nhãn"],"should_abstain":false,"query_type":"exact-topic","reviewed_by":"QA"}</x:v>
      </x:c>
      <x:c r="D27" s="234" t="str">
        <x:v>Bộ eval, không runtime</x:v>
      </x:c>
      <x:c r="E27" s="234" t="str">
        <x:v>data/90_exports/eval/rag_eval.jsonl</x:v>
      </x:c>
      <x:c r="F27" s="236" t="str">
        <x:v>Kiểm tra tài liệu ML đang thiếu chunk trước khi đánh giá.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9cbde82848d41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2" hidden="0" customWidth="1"/>
    <x:col min="4" max="4" width="52" hidden="0" customWidth="1"/>
  </x:cols>
  <x:sheetData>
    <x:row r="1">
      <x:c r="A1" s="237" t="str">
        <x:v>Quy ước để dữ liệu không làm bẩn runtime</x:v>
      </x:c>
      <x:c r="B1" s="237"/>
      <x:c r="C1" s="237"/>
      <x:c r="D1" s="237"/>
    </x:row>
    <x:row r="2">
      <x:c r="A2" s="197"/>
      <x:c r="B2" s="197"/>
      <x:c r="C2" s="197"/>
      <x:c r="D2" s="197"/>
    </x:row>
    <x:row r="3">
      <x:c r="A3" s="238" t="str">
        <x:v>Quy tắc</x:v>
      </x:c>
      <x:c r="B3" s="239" t="str">
        <x:v>Bắt buộc</x:v>
      </x:c>
      <x:c r="C3" s="239" t="str">
        <x:v>Ví dụ đúng</x:v>
      </x:c>
      <x:c r="D3" s="240" t="str">
        <x:v>Ví dụ không được đưa vào runtime</x:v>
      </x:c>
    </x:row>
    <x:row r="4" ht="60" customHeight="1">
      <x:c r="A4" s="241" t="str">
        <x:v>Production source of truth</x:v>
      </x:c>
      <x:c r="B4" s="242" t="str">
        <x:v>Supabase là nguồn thật; data/ chỉ là contract/sample/eval.</x:v>
      </x:c>
      <x:c r="C4" s="242" t="str">
        <x:v>Upload web tạo import_id và ghi raw/normalized/chunks/embedding vào Supabase.</x:v>
      </x:c>
      <x:c r="D4" s="243" t="str">
        <x:v>Không coi data/manual_samples_local là dữ liệu production.</x:v>
      </x:c>
    </x:row>
    <x:row r="5" ht="60" customHeight="1">
      <x:c r="A5" s="241" t="str">
        <x:v>Moderation Memory</x:v>
      </x:c>
      <x:c r="B5" s="242" t="str">
        <x:v>Chỉ case Admin/Mod xác nhận là vi phạm mới được nhớ.</x:v>
      </x:c>
      <x:c r="C5" s="242" t="str">
        <x:v>'Mày ngu quá, cút đi' → harassment + warn + reason.</x:v>
      </x:c>
      <x:c r="D5" s="243" t="str">
        <x:v>'Đánh liên quân không?' hoặc case Admin dismiss/false positive.</x:v>
      </x:c>
    </x:row>
    <x:row r="6" ht="60" customHeight="1">
      <x:c r="A6" s="241" t="str">
        <x:v>FAQ Top 10</x:v>
      </x:c>
      <x:c r="B6" s="242" t="str">
        <x:v>Chỉ câu hỏi có faq_eligible=true mới cluster.</x:v>
      </x:c>
      <x:c r="C6" s="242" t="str">
        <x:v>'Cách báo spam trong nhóm?' → FAQ.</x:v>
      </x:c>
      <x:c r="D6" s="243" t="str">
        <x:v>'Xin chào', 'đánh game không?', lời khen, câu chửi.</x:v>
      </x:c>
    </x:row>
    <x:row r="7" ht="60" customHeight="1">
      <x:c r="A7" s="241" t="str">
        <x:v>Embedding</x:v>
      </x:c>
      <x:c r="B7" s="242" t="str">
        <x:v>Không nhập vector thủ công; phải ghi model/version/hash.</x:v>
      </x:c>
      <x:c r="C7" s="242" t="str">
        <x:v>Backend tạo text-embedding-3-small cho question/chunk.</x:v>
      </x:c>
      <x:c r="D7" s="243" t="str">
        <x:v>Trộn local-hash với OpenAI vector hoặc đổi model nhưng không re-embed.</x:v>
      </x:c>
    </x:row>
    <x:row r="8" ht="60" customHeight="1">
      <x:c r="A8" s="241" t="str">
        <x:v>RAG citation</x:v>
      </x:c>
      <x:c r="B8" s="242" t="str">
        <x:v>Mỗi câu RAG phải có source_id/title/chunk hoặc source URL.</x:v>
      </x:c>
      <x:c r="C8" s="242" t="str">
        <x:v>KN-002 → Project-Based Learning → đoạn trích.</x:v>
      </x:c>
      <x:c r="D8" s="243" t="str">
        <x:v>Trả lời từ tài liệu không có document_id hoặc nguồn mơ hồ.</x:v>
      </x:c>
    </x:row>
    <x:row r="9" ht="60" customHeight="1">
      <x:c r="A9" s="241" t="str">
        <x:v>Dữ liệu động</x:v>
      </x:c>
      <x:c r="B9" s="242" t="str">
        <x:v>Sự kiện/deadline/patch phải có thời hạn và owner.</x:v>
      </x:c>
      <x:c r="C9" s="242" t="str">
        <x:v>Patch 26.15 valid_from/valid_to.</x:v>
      </x:c>
      <x:c r="D9" s="243" t="str">
        <x:v>Dùng tài liệu lịch cũ để trả lời câu hỏi hiện tại.</x:v>
      </x:c>
    </x:row>
    <x:row r="10" ht="60" customHeight="1">
      <x:c r="A10" s="244" t="str">
        <x:v>Privacy</x:v>
      </x:c>
      <x:c r="B10" s="245" t="str">
        <x:v>Ẩn/loại thông tin cá nhân và nội dung đề thi thật.</x:v>
      </x:c>
      <x:c r="C10" s="245" t="str">
        <x:v>Thay user ID bằng mã giả trong eval.</x:v>
      </x:c>
      <x:c r="D10" s="246" t="str">
        <x:v>Email, token, số điện thoại, đề thi đang diễn ra.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7a487a5cbf543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>
      <x:c r="A1" s="247" t="str">
        <x:v>Trạng thái</x:v>
      </x:c>
      <x:c r="B1" s="248" t="str">
        <x:v>Tên thành viên</x:v>
      </x:c>
    </x:row>
    <x:row r="2">
      <x:c r="A2" s="249" t="str">
        <x:v>Chưa bắt đầu</x:v>
      </x:c>
      <x:c r="B2" s="250" t="str">
        <x:v>Nguyễn Chiến Thắng (QA)</x:v>
      </x:c>
    </x:row>
    <x:row r="3">
      <x:c r="A3" s="249" t="str">
        <x:v>Đang làm</x:v>
      </x:c>
      <x:c r="B3" s="250" t="str">
        <x:v>Bùi Hữu Nghĩa (Model)</x:v>
      </x:c>
    </x:row>
    <x:row r="4">
      <x:c r="A4" s="249" t="str">
        <x:v>Cần kiểm tra</x:v>
      </x:c>
      <x:c r="B4" s="250" t="str">
        <x:v>Nguyễn Thái Tú (Web dev)</x:v>
      </x:c>
    </x:row>
    <x:row r="5">
      <x:c r="A5" s="249" t="str">
        <x:v>Đã đủ</x:v>
      </x:c>
      <x:c r="B5" s="250" t="str">
        <x:v>Hà Nhật Khánh Duy (Data Analyst)</x:v>
      </x:c>
    </x:row>
    <x:row r="6">
      <x:c r="A6" s="251" t="str">
        <x:v>Không áp dụng</x:v>
      </x:c>
      <x:c r="B6" s="252"/>
    </x:row>
  </x:sheetData>
  <x:pageMargins left="0.7" right="0.7" top="0.75" bottom="0.75" header="0.3" footer="0.3"/>
</x:worksheet>
</file>